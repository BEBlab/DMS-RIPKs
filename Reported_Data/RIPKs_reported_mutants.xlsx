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ecbarcelona-my.sharepoint.com/personal/mmartin_ibecbarcelona_eu/Documents/Documentos/Postdoc-BEBlab/Lab/LabProjects/RIPKs/AnalysisCode/Reported_Data/"/>
    </mc:Choice>
  </mc:AlternateContent>
  <xr:revisionPtr revIDLastSave="269" documentId="8_{C6FDCE80-F0B4-4EA6-BDA2-3142E21FC13B}" xr6:coauthVersionLast="47" xr6:coauthVersionMax="47" xr10:uidLastSave="{B16568E2-EE20-4F60-ABA7-B3B15F8EE61E}"/>
  <bookViews>
    <workbookView xWindow="-120" yWindow="-120" windowWidth="29040" windowHeight="15720" activeTab="3" xr2:uid="{ADCE0FD8-1525-4527-9C6E-DB8C499A85C7}"/>
  </bookViews>
  <sheets>
    <sheet name="Li-2012-Cell" sheetId="1" r:id="rId1"/>
    <sheet name="Hu-2020-CellDeathDiff" sheetId="2" r:id="rId2"/>
    <sheet name="Ma-2025-PNAS" sheetId="3" r:id="rId3"/>
    <sheet name="Wu-2021-NatComm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8" i="4"/>
  <c r="E11" i="4"/>
  <c r="E14" i="4"/>
  <c r="E17" i="4"/>
  <c r="E20" i="4"/>
  <c r="E23" i="4"/>
  <c r="E26" i="4"/>
  <c r="E29" i="4"/>
  <c r="E32" i="4"/>
  <c r="E35" i="4"/>
  <c r="E38" i="4"/>
  <c r="E41" i="4"/>
  <c r="E44" i="4"/>
  <c r="E47" i="4"/>
  <c r="E50" i="4"/>
  <c r="E2" i="4"/>
  <c r="D5" i="4"/>
  <c r="D8" i="4"/>
  <c r="D11" i="4"/>
  <c r="D14" i="4"/>
  <c r="D17" i="4"/>
  <c r="D20" i="4"/>
  <c r="D23" i="4"/>
  <c r="D26" i="4"/>
  <c r="D29" i="4"/>
  <c r="D32" i="4"/>
  <c r="D35" i="4"/>
  <c r="D38" i="4"/>
  <c r="D41" i="4"/>
  <c r="D44" i="4"/>
  <c r="D47" i="4"/>
  <c r="D50" i="4"/>
  <c r="D2" i="4"/>
</calcChain>
</file>

<file path=xl/sharedStrings.xml><?xml version="1.0" encoding="utf-8"?>
<sst xmlns="http://schemas.openxmlformats.org/spreadsheetml/2006/main" count="625" uniqueCount="114">
  <si>
    <t>Protein</t>
  </si>
  <si>
    <t>Mutant</t>
  </si>
  <si>
    <t>Reference</t>
  </si>
  <si>
    <t>RIPK3</t>
  </si>
  <si>
    <t>WT</t>
  </si>
  <si>
    <t>% cell death</t>
  </si>
  <si>
    <t>SD</t>
  </si>
  <si>
    <t>V458P</t>
  </si>
  <si>
    <t>V460P</t>
  </si>
  <si>
    <t>G457D</t>
  </si>
  <si>
    <t>N464D</t>
  </si>
  <si>
    <t>VQVG&gt;AAAA</t>
  </si>
  <si>
    <t>RIPK1</t>
  </si>
  <si>
    <t>IQIG&gt;AAAA</t>
  </si>
  <si>
    <t>I539P</t>
  </si>
  <si>
    <t>I541P</t>
  </si>
  <si>
    <t>N545P</t>
  </si>
  <si>
    <t>http://dx.doi.org/10.1016/j.cell.2012.06.019</t>
  </si>
  <si>
    <t>SEM</t>
  </si>
  <si>
    <t>Measurement time (hs after triggering necroptosis)</t>
  </si>
  <si>
    <t>M468D</t>
  </si>
  <si>
    <t>Cell Line used</t>
  </si>
  <si>
    <t>HeLa</t>
  </si>
  <si>
    <t>RIP1 -/- fibroblasts</t>
  </si>
  <si>
    <t>Exogenous expression</t>
  </si>
  <si>
    <t>transient transfection</t>
  </si>
  <si>
    <t>N646D/M468D</t>
  </si>
  <si>
    <t>lentiviral transduction</t>
  </si>
  <si>
    <t>Technique</t>
  </si>
  <si>
    <t>CellTiter-Glo Luminescent Cell Viability</t>
  </si>
  <si>
    <t>% cell viability</t>
  </si>
  <si>
    <t>Propidium iodide FACS</t>
  </si>
  <si>
    <t>https://doi.org/10.1038/s41418-020-0598-9</t>
  </si>
  <si>
    <t>The data was extracted from figures using https://automeris.io/</t>
  </si>
  <si>
    <t>Replicates</t>
  </si>
  <si>
    <t>Gene expression</t>
  </si>
  <si>
    <t>Gene Expression</t>
  </si>
  <si>
    <t>overexpression</t>
  </si>
  <si>
    <t>V450E</t>
  </si>
  <si>
    <t>V460E</t>
  </si>
  <si>
    <t>L466E</t>
  </si>
  <si>
    <t>V450E/L466E</t>
  </si>
  <si>
    <t>mRIP3</t>
  </si>
  <si>
    <t>NIH-3T3</t>
  </si>
  <si>
    <t>Lentivirus transduction</t>
  </si>
  <si>
    <t>% cell survival</t>
  </si>
  <si>
    <t>https://doi.org/10.1038/s41467-021-21881-2</t>
  </si>
  <si>
    <t>F442D</t>
  </si>
  <si>
    <t>Q449D</t>
  </si>
  <si>
    <t>L456D</t>
  </si>
  <si>
    <t>F442A</t>
  </si>
  <si>
    <t>Q449A</t>
  </si>
  <si>
    <t>L456A</t>
  </si>
  <si>
    <t>SLV(455-457)AAA</t>
    <phoneticPr fontId="0" type="noConversion"/>
  </si>
  <si>
    <t>VFNN(441-444)AAAA</t>
    <phoneticPr fontId="0" type="noConversion"/>
  </si>
  <si>
    <t>VQIG(448-451)AAAA</t>
    <phoneticPr fontId="0" type="noConversion"/>
  </si>
  <si>
    <t>MEF RIP3-/-</t>
  </si>
  <si>
    <t>Mean</t>
  </si>
  <si>
    <t>These data was obtained from the paper Source Data File</t>
  </si>
  <si>
    <t>t.test p-value vs the WT</t>
  </si>
  <si>
    <t>-</t>
  </si>
  <si>
    <t>0.003123457</t>
  </si>
  <si>
    <t>0.5981142</t>
  </si>
  <si>
    <t>0.0014491</t>
  </si>
  <si>
    <t>0.0001957</t>
  </si>
  <si>
    <t>0.0085867</t>
  </si>
  <si>
    <t>0.0001843968</t>
  </si>
  <si>
    <t>0.03061722</t>
  </si>
  <si>
    <t>0.09094344</t>
  </si>
  <si>
    <t>V458P/V460P</t>
  </si>
  <si>
    <t>0.001085691</t>
  </si>
  <si>
    <t>0.0003485</t>
  </si>
  <si>
    <t>0.001110435</t>
  </si>
  <si>
    <t>0.0000183</t>
  </si>
  <si>
    <t>0.004095138</t>
  </si>
  <si>
    <t>0.0002104011</t>
  </si>
  <si>
    <t>0.0003694909</t>
  </si>
  <si>
    <t>0.005793671</t>
  </si>
  <si>
    <t>0.0000000</t>
  </si>
  <si>
    <t>0.0000001</t>
  </si>
  <si>
    <t>0.0000014</t>
  </si>
  <si>
    <t>0.07445216</t>
  </si>
  <si>
    <t>0.1366917</t>
  </si>
  <si>
    <t>0.00306591</t>
  </si>
  <si>
    <t>0.2472441</t>
  </si>
  <si>
    <t>0.0929957</t>
  </si>
  <si>
    <t>0.0000656</t>
  </si>
  <si>
    <t>0.1123367</t>
  </si>
  <si>
    <t>0.002405763</t>
  </si>
  <si>
    <t>0.2515996</t>
  </si>
  <si>
    <t>0.5622035</t>
  </si>
  <si>
    <t>0.0000057</t>
  </si>
  <si>
    <t>0.01042228</t>
  </si>
  <si>
    <t>0.0000783</t>
  </si>
  <si>
    <t>0.0000753</t>
  </si>
  <si>
    <t>0.00000593</t>
  </si>
  <si>
    <t>0.0000016</t>
  </si>
  <si>
    <t>0.0001272</t>
  </si>
  <si>
    <t>0.0000296</t>
  </si>
  <si>
    <t>0.0000195</t>
  </si>
  <si>
    <t>simulated ANOVA - Dunnet's posthoc</t>
  </si>
  <si>
    <t>simulated ANOVA - Tukey's posthoc</t>
  </si>
  <si>
    <t xml:space="preserve">0.00261 </t>
  </si>
  <si>
    <t>&lt; 0.001</t>
  </si>
  <si>
    <t>0.00140</t>
  </si>
  <si>
    <t>0.14076</t>
  </si>
  <si>
    <t>&lt;1e-08</t>
  </si>
  <si>
    <t xml:space="preserve">0.060 </t>
  </si>
  <si>
    <t xml:space="preserve">0.577    </t>
  </si>
  <si>
    <t>&lt;0.001</t>
  </si>
  <si>
    <t>0.506</t>
  </si>
  <si>
    <t xml:space="preserve">0.608    </t>
  </si>
  <si>
    <t xml:space="preserve">0.000115 </t>
  </si>
  <si>
    <t>&lt; 1e-04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</si>
</sst>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11" fontId="0" fillId="0" borderId="0" xfId="0" applyNumberFormat="1"/>
    <xf numFmtId="11" fontId="6" fillId="0" borderId="0" xfId="0" applyNumberFormat="1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38/s41467-021-21881-2" TargetMode="External"/><Relationship Id="rId18" Type="http://schemas.openxmlformats.org/officeDocument/2006/relationships/hyperlink" Target="https://doi.org/10.1038/s41467-021-21881-2" TargetMode="External"/><Relationship Id="rId26" Type="http://schemas.openxmlformats.org/officeDocument/2006/relationships/hyperlink" Target="https://doi.org/10.1038/s41467-021-21881-2" TargetMode="External"/><Relationship Id="rId39" Type="http://schemas.openxmlformats.org/officeDocument/2006/relationships/hyperlink" Target="https://doi.org/10.1038/s41467-021-21881-2" TargetMode="External"/><Relationship Id="rId21" Type="http://schemas.openxmlformats.org/officeDocument/2006/relationships/hyperlink" Target="https://doi.org/10.1038/s41467-021-21881-2" TargetMode="External"/><Relationship Id="rId34" Type="http://schemas.openxmlformats.org/officeDocument/2006/relationships/hyperlink" Target="https://doi.org/10.1038/s41467-021-21881-2" TargetMode="External"/><Relationship Id="rId7" Type="http://schemas.openxmlformats.org/officeDocument/2006/relationships/hyperlink" Target="https://doi.org/10.1038/s41467-021-21881-2" TargetMode="External"/><Relationship Id="rId2" Type="http://schemas.openxmlformats.org/officeDocument/2006/relationships/hyperlink" Target="https://doi.org/10.1038/s41467-021-21881-2" TargetMode="External"/><Relationship Id="rId16" Type="http://schemas.openxmlformats.org/officeDocument/2006/relationships/hyperlink" Target="https://doi.org/10.1038/s41467-021-21881-2" TargetMode="External"/><Relationship Id="rId20" Type="http://schemas.openxmlformats.org/officeDocument/2006/relationships/hyperlink" Target="https://doi.org/10.1038/s41467-021-21881-2" TargetMode="External"/><Relationship Id="rId29" Type="http://schemas.openxmlformats.org/officeDocument/2006/relationships/hyperlink" Target="https://doi.org/10.1038/s41467-021-21881-2" TargetMode="External"/><Relationship Id="rId41" Type="http://schemas.openxmlformats.org/officeDocument/2006/relationships/hyperlink" Target="https://doi.org/10.1038/s41467-021-21881-2" TargetMode="External"/><Relationship Id="rId1" Type="http://schemas.openxmlformats.org/officeDocument/2006/relationships/hyperlink" Target="https://doi.org/10.1038/s41467-021-21881-2" TargetMode="External"/><Relationship Id="rId6" Type="http://schemas.openxmlformats.org/officeDocument/2006/relationships/hyperlink" Target="https://doi.org/10.1038/s41467-021-21881-2" TargetMode="External"/><Relationship Id="rId11" Type="http://schemas.openxmlformats.org/officeDocument/2006/relationships/hyperlink" Target="https://doi.org/10.1038/s41467-021-21881-2" TargetMode="External"/><Relationship Id="rId24" Type="http://schemas.openxmlformats.org/officeDocument/2006/relationships/hyperlink" Target="https://doi.org/10.1038/s41467-021-21881-2" TargetMode="External"/><Relationship Id="rId32" Type="http://schemas.openxmlformats.org/officeDocument/2006/relationships/hyperlink" Target="https://doi.org/10.1038/s41467-021-21881-2" TargetMode="External"/><Relationship Id="rId37" Type="http://schemas.openxmlformats.org/officeDocument/2006/relationships/hyperlink" Target="https://doi.org/10.1038/s41467-021-21881-2" TargetMode="External"/><Relationship Id="rId40" Type="http://schemas.openxmlformats.org/officeDocument/2006/relationships/hyperlink" Target="https://doi.org/10.1038/s41467-021-21881-2" TargetMode="External"/><Relationship Id="rId5" Type="http://schemas.openxmlformats.org/officeDocument/2006/relationships/hyperlink" Target="https://doi.org/10.1038/s41467-021-21881-2" TargetMode="External"/><Relationship Id="rId15" Type="http://schemas.openxmlformats.org/officeDocument/2006/relationships/hyperlink" Target="https://doi.org/10.1038/s41467-021-21881-2" TargetMode="External"/><Relationship Id="rId23" Type="http://schemas.openxmlformats.org/officeDocument/2006/relationships/hyperlink" Target="https://doi.org/10.1038/s41467-021-21881-2" TargetMode="External"/><Relationship Id="rId28" Type="http://schemas.openxmlformats.org/officeDocument/2006/relationships/hyperlink" Target="https://doi.org/10.1038/s41467-021-21881-2" TargetMode="External"/><Relationship Id="rId36" Type="http://schemas.openxmlformats.org/officeDocument/2006/relationships/hyperlink" Target="https://doi.org/10.1038/s41467-021-21881-2" TargetMode="External"/><Relationship Id="rId10" Type="http://schemas.openxmlformats.org/officeDocument/2006/relationships/hyperlink" Target="https://doi.org/10.1038/s41467-021-21881-2" TargetMode="External"/><Relationship Id="rId19" Type="http://schemas.openxmlformats.org/officeDocument/2006/relationships/hyperlink" Target="https://doi.org/10.1038/s41467-021-21881-2" TargetMode="External"/><Relationship Id="rId31" Type="http://schemas.openxmlformats.org/officeDocument/2006/relationships/hyperlink" Target="https://doi.org/10.1038/s41467-021-21881-2" TargetMode="External"/><Relationship Id="rId4" Type="http://schemas.openxmlformats.org/officeDocument/2006/relationships/hyperlink" Target="https://doi.org/10.1038/s41467-021-21881-2" TargetMode="External"/><Relationship Id="rId9" Type="http://schemas.openxmlformats.org/officeDocument/2006/relationships/hyperlink" Target="https://doi.org/10.1038/s41467-021-21881-2" TargetMode="External"/><Relationship Id="rId14" Type="http://schemas.openxmlformats.org/officeDocument/2006/relationships/hyperlink" Target="https://doi.org/10.1038/s41467-021-21881-2" TargetMode="External"/><Relationship Id="rId22" Type="http://schemas.openxmlformats.org/officeDocument/2006/relationships/hyperlink" Target="https://doi.org/10.1038/s41467-021-21881-2" TargetMode="External"/><Relationship Id="rId27" Type="http://schemas.openxmlformats.org/officeDocument/2006/relationships/hyperlink" Target="https://doi.org/10.1038/s41467-021-21881-2" TargetMode="External"/><Relationship Id="rId30" Type="http://schemas.openxmlformats.org/officeDocument/2006/relationships/hyperlink" Target="https://doi.org/10.1038/s41467-021-21881-2" TargetMode="External"/><Relationship Id="rId35" Type="http://schemas.openxmlformats.org/officeDocument/2006/relationships/hyperlink" Target="https://doi.org/10.1038/s41467-021-21881-2" TargetMode="External"/><Relationship Id="rId8" Type="http://schemas.openxmlformats.org/officeDocument/2006/relationships/hyperlink" Target="https://doi.org/10.1038/s41467-021-21881-2" TargetMode="External"/><Relationship Id="rId3" Type="http://schemas.openxmlformats.org/officeDocument/2006/relationships/hyperlink" Target="https://doi.org/10.1038/s41467-021-21881-2" TargetMode="External"/><Relationship Id="rId12" Type="http://schemas.openxmlformats.org/officeDocument/2006/relationships/hyperlink" Target="https://doi.org/10.1038/s41467-021-21881-2" TargetMode="External"/><Relationship Id="rId17" Type="http://schemas.openxmlformats.org/officeDocument/2006/relationships/hyperlink" Target="https://doi.org/10.1038/s41467-021-21881-2" TargetMode="External"/><Relationship Id="rId25" Type="http://schemas.openxmlformats.org/officeDocument/2006/relationships/hyperlink" Target="https://doi.org/10.1038/s41467-021-21881-2" TargetMode="External"/><Relationship Id="rId33" Type="http://schemas.openxmlformats.org/officeDocument/2006/relationships/hyperlink" Target="https://doi.org/10.1038/s41467-021-21881-2" TargetMode="External"/><Relationship Id="rId38" Type="http://schemas.openxmlformats.org/officeDocument/2006/relationships/hyperlink" Target="https://doi.org/10.1038/s41467-021-21881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E536-F784-424E-A76E-1B7A7660E891}">
  <dimension ref="A1:N16"/>
  <sheetViews>
    <sheetView workbookViewId="0">
      <selection activeCell="H1" sqref="H1"/>
    </sheetView>
  </sheetViews>
  <sheetFormatPr baseColWidth="10" defaultRowHeight="15" x14ac:dyDescent="0.25"/>
  <cols>
    <col min="6" max="8" width="21.85546875" customWidth="1"/>
    <col min="9" max="9" width="18" customWidth="1"/>
    <col min="10" max="10" width="17.5703125" bestFit="1" customWidth="1"/>
    <col min="11" max="11" width="21.5703125" bestFit="1" customWidth="1"/>
    <col min="12" max="13" width="21.5703125" customWidth="1"/>
    <col min="14" max="14" width="39" bestFit="1" customWidth="1"/>
  </cols>
  <sheetData>
    <row r="1" spans="1:14" x14ac:dyDescent="0.25">
      <c r="A1" s="1" t="s">
        <v>0</v>
      </c>
      <c r="B1" s="1" t="s">
        <v>1</v>
      </c>
      <c r="C1" s="1" t="s">
        <v>5</v>
      </c>
      <c r="D1" s="1" t="s">
        <v>18</v>
      </c>
      <c r="E1" s="1" t="s">
        <v>34</v>
      </c>
      <c r="F1" s="1" t="s">
        <v>59</v>
      </c>
      <c r="G1" s="1" t="s">
        <v>101</v>
      </c>
      <c r="H1" s="1" t="s">
        <v>100</v>
      </c>
      <c r="I1" s="1" t="s">
        <v>19</v>
      </c>
      <c r="J1" s="1" t="s">
        <v>21</v>
      </c>
      <c r="K1" s="1" t="s">
        <v>24</v>
      </c>
      <c r="L1" s="1" t="s">
        <v>36</v>
      </c>
      <c r="M1" s="1" t="s">
        <v>28</v>
      </c>
      <c r="N1" s="1" t="s">
        <v>2</v>
      </c>
    </row>
    <row r="2" spans="1:14" x14ac:dyDescent="0.25">
      <c r="A2" t="s">
        <v>3</v>
      </c>
      <c r="B2" t="s">
        <v>4</v>
      </c>
      <c r="C2">
        <v>24.03</v>
      </c>
      <c r="D2">
        <v>1.54</v>
      </c>
      <c r="E2">
        <v>3</v>
      </c>
      <c r="F2" t="s">
        <v>60</v>
      </c>
      <c r="G2" t="s">
        <v>60</v>
      </c>
      <c r="H2" t="s">
        <v>60</v>
      </c>
      <c r="I2">
        <v>14</v>
      </c>
      <c r="J2" t="s">
        <v>22</v>
      </c>
      <c r="K2" t="s">
        <v>25</v>
      </c>
      <c r="L2" t="s">
        <v>37</v>
      </c>
      <c r="M2" t="s">
        <v>31</v>
      </c>
      <c r="N2" t="s">
        <v>17</v>
      </c>
    </row>
    <row r="3" spans="1:14" x14ac:dyDescent="0.25">
      <c r="A3" t="s">
        <v>3</v>
      </c>
      <c r="B3" t="s">
        <v>7</v>
      </c>
      <c r="C3">
        <v>11.76</v>
      </c>
      <c r="D3">
        <v>2.39</v>
      </c>
      <c r="E3">
        <v>3</v>
      </c>
      <c r="F3" t="s">
        <v>61</v>
      </c>
      <c r="G3" t="s">
        <v>63</v>
      </c>
      <c r="H3" t="s">
        <v>102</v>
      </c>
      <c r="I3">
        <v>14</v>
      </c>
      <c r="J3" t="s">
        <v>22</v>
      </c>
      <c r="K3" t="s">
        <v>25</v>
      </c>
      <c r="L3" t="s">
        <v>37</v>
      </c>
      <c r="M3" t="s">
        <v>31</v>
      </c>
      <c r="N3" t="s">
        <v>17</v>
      </c>
    </row>
    <row r="4" spans="1:14" x14ac:dyDescent="0.25">
      <c r="A4" t="s">
        <v>3</v>
      </c>
      <c r="B4" t="s">
        <v>8</v>
      </c>
      <c r="C4">
        <v>6.14</v>
      </c>
      <c r="D4">
        <v>1.7</v>
      </c>
      <c r="E4">
        <v>3</v>
      </c>
      <c r="F4" t="s">
        <v>66</v>
      </c>
      <c r="G4" t="s">
        <v>64</v>
      </c>
      <c r="H4" t="s">
        <v>103</v>
      </c>
      <c r="I4">
        <v>14</v>
      </c>
      <c r="J4" t="s">
        <v>22</v>
      </c>
      <c r="K4" t="s">
        <v>25</v>
      </c>
      <c r="L4" t="s">
        <v>37</v>
      </c>
      <c r="M4" t="s">
        <v>31</v>
      </c>
      <c r="N4" t="s">
        <v>17</v>
      </c>
    </row>
    <row r="5" spans="1:14" x14ac:dyDescent="0.25">
      <c r="A5" t="s">
        <v>3</v>
      </c>
      <c r="B5" t="s">
        <v>69</v>
      </c>
      <c r="C5">
        <v>8.86</v>
      </c>
      <c r="D5">
        <v>2.2200000000000002</v>
      </c>
      <c r="E5">
        <v>3</v>
      </c>
      <c r="F5" t="s">
        <v>70</v>
      </c>
      <c r="G5" t="s">
        <v>71</v>
      </c>
      <c r="H5" t="s">
        <v>103</v>
      </c>
      <c r="I5">
        <v>14</v>
      </c>
      <c r="J5" t="s">
        <v>22</v>
      </c>
      <c r="K5" t="s">
        <v>25</v>
      </c>
      <c r="L5" t="s">
        <v>37</v>
      </c>
      <c r="M5" t="s">
        <v>31</v>
      </c>
      <c r="N5" t="s">
        <v>17</v>
      </c>
    </row>
    <row r="6" spans="1:14" x14ac:dyDescent="0.25">
      <c r="A6" t="s">
        <v>3</v>
      </c>
      <c r="B6" t="s">
        <v>9</v>
      </c>
      <c r="C6">
        <v>12.44</v>
      </c>
      <c r="D6">
        <v>4.26</v>
      </c>
      <c r="E6">
        <v>3</v>
      </c>
      <c r="F6" t="s">
        <v>67</v>
      </c>
      <c r="G6" t="s">
        <v>65</v>
      </c>
      <c r="H6" t="s">
        <v>104</v>
      </c>
      <c r="I6">
        <v>14</v>
      </c>
      <c r="J6" t="s">
        <v>22</v>
      </c>
      <c r="K6" t="s">
        <v>25</v>
      </c>
      <c r="L6" t="s">
        <v>37</v>
      </c>
      <c r="M6" t="s">
        <v>31</v>
      </c>
      <c r="N6" t="s">
        <v>17</v>
      </c>
    </row>
    <row r="7" spans="1:14" x14ac:dyDescent="0.25">
      <c r="A7" t="s">
        <v>3</v>
      </c>
      <c r="B7" t="s">
        <v>10</v>
      </c>
      <c r="C7">
        <v>18.239999999999998</v>
      </c>
      <c r="D7">
        <v>3.58</v>
      </c>
      <c r="E7">
        <v>3</v>
      </c>
      <c r="F7" t="s">
        <v>68</v>
      </c>
      <c r="G7" t="s">
        <v>62</v>
      </c>
      <c r="H7" t="s">
        <v>105</v>
      </c>
      <c r="I7">
        <v>14</v>
      </c>
      <c r="J7" t="s">
        <v>22</v>
      </c>
      <c r="K7" t="s">
        <v>25</v>
      </c>
      <c r="L7" t="s">
        <v>37</v>
      </c>
      <c r="M7" t="s">
        <v>31</v>
      </c>
      <c r="N7" t="s">
        <v>17</v>
      </c>
    </row>
    <row r="8" spans="1:14" x14ac:dyDescent="0.25">
      <c r="A8" t="s">
        <v>3</v>
      </c>
      <c r="B8" t="s">
        <v>11</v>
      </c>
      <c r="C8">
        <v>6.65</v>
      </c>
      <c r="D8">
        <v>0.51</v>
      </c>
      <c r="E8">
        <v>3</v>
      </c>
      <c r="F8" t="s">
        <v>72</v>
      </c>
      <c r="G8" t="s">
        <v>73</v>
      </c>
      <c r="H8" t="s">
        <v>103</v>
      </c>
      <c r="I8">
        <v>14</v>
      </c>
      <c r="J8" t="s">
        <v>22</v>
      </c>
      <c r="K8" t="s">
        <v>25</v>
      </c>
      <c r="L8" t="s">
        <v>37</v>
      </c>
      <c r="M8" t="s">
        <v>31</v>
      </c>
      <c r="N8" t="s">
        <v>17</v>
      </c>
    </row>
    <row r="9" spans="1:14" x14ac:dyDescent="0.25">
      <c r="A9" t="s">
        <v>12</v>
      </c>
      <c r="B9" t="s">
        <v>4</v>
      </c>
      <c r="C9">
        <v>68.38</v>
      </c>
      <c r="D9">
        <v>0.89</v>
      </c>
      <c r="E9">
        <v>3</v>
      </c>
      <c r="F9" t="s">
        <v>60</v>
      </c>
      <c r="G9" t="s">
        <v>60</v>
      </c>
      <c r="H9" t="s">
        <v>60</v>
      </c>
      <c r="I9">
        <v>6</v>
      </c>
      <c r="J9" t="s">
        <v>23</v>
      </c>
      <c r="K9" t="s">
        <v>25</v>
      </c>
      <c r="L9" t="s">
        <v>37</v>
      </c>
      <c r="M9" t="s">
        <v>31</v>
      </c>
      <c r="N9" t="s">
        <v>17</v>
      </c>
    </row>
    <row r="10" spans="1:14" x14ac:dyDescent="0.25">
      <c r="A10" t="s">
        <v>12</v>
      </c>
      <c r="B10" t="s">
        <v>13</v>
      </c>
      <c r="C10">
        <v>25.03</v>
      </c>
      <c r="D10">
        <v>5.36</v>
      </c>
      <c r="E10">
        <v>3</v>
      </c>
      <c r="F10" t="s">
        <v>74</v>
      </c>
      <c r="G10" t="s">
        <v>79</v>
      </c>
      <c r="H10" t="s">
        <v>106</v>
      </c>
      <c r="I10">
        <v>6</v>
      </c>
      <c r="J10" t="s">
        <v>23</v>
      </c>
      <c r="K10" t="s">
        <v>25</v>
      </c>
      <c r="L10" t="s">
        <v>37</v>
      </c>
      <c r="M10" t="s">
        <v>31</v>
      </c>
      <c r="N10" t="s">
        <v>17</v>
      </c>
    </row>
    <row r="11" spans="1:14" x14ac:dyDescent="0.25">
      <c r="A11" t="s">
        <v>12</v>
      </c>
      <c r="B11" t="s">
        <v>14</v>
      </c>
      <c r="C11">
        <v>8.94</v>
      </c>
      <c r="D11">
        <v>2.68</v>
      </c>
      <c r="E11">
        <v>3</v>
      </c>
      <c r="F11" t="s">
        <v>75</v>
      </c>
      <c r="G11" t="s">
        <v>78</v>
      </c>
      <c r="H11" t="s">
        <v>106</v>
      </c>
      <c r="I11">
        <v>6</v>
      </c>
      <c r="J11" t="s">
        <v>23</v>
      </c>
      <c r="K11" t="s">
        <v>25</v>
      </c>
      <c r="L11" t="s">
        <v>37</v>
      </c>
      <c r="M11" t="s">
        <v>31</v>
      </c>
      <c r="N11" t="s">
        <v>17</v>
      </c>
    </row>
    <row r="12" spans="1:14" x14ac:dyDescent="0.25">
      <c r="A12" t="s">
        <v>12</v>
      </c>
      <c r="B12" t="s">
        <v>15</v>
      </c>
      <c r="C12">
        <v>21</v>
      </c>
      <c r="D12">
        <v>2.69</v>
      </c>
      <c r="E12">
        <v>3</v>
      </c>
      <c r="F12" t="s">
        <v>76</v>
      </c>
      <c r="G12" t="s">
        <v>79</v>
      </c>
      <c r="H12" t="s">
        <v>106</v>
      </c>
      <c r="I12">
        <v>6</v>
      </c>
      <c r="J12" t="s">
        <v>23</v>
      </c>
      <c r="K12" t="s">
        <v>25</v>
      </c>
      <c r="L12" t="s">
        <v>37</v>
      </c>
      <c r="M12" t="s">
        <v>31</v>
      </c>
      <c r="N12" t="s">
        <v>17</v>
      </c>
    </row>
    <row r="13" spans="1:14" x14ac:dyDescent="0.25">
      <c r="A13" t="s">
        <v>12</v>
      </c>
      <c r="B13" t="s">
        <v>16</v>
      </c>
      <c r="C13">
        <v>31.73</v>
      </c>
      <c r="D13">
        <v>5.36</v>
      </c>
      <c r="E13">
        <v>3</v>
      </c>
      <c r="F13" t="s">
        <v>77</v>
      </c>
      <c r="G13" t="s">
        <v>80</v>
      </c>
      <c r="H13" t="s">
        <v>106</v>
      </c>
      <c r="I13">
        <v>6</v>
      </c>
      <c r="J13" t="s">
        <v>23</v>
      </c>
      <c r="K13" t="s">
        <v>25</v>
      </c>
      <c r="L13" t="s">
        <v>37</v>
      </c>
      <c r="M13" t="s">
        <v>31</v>
      </c>
      <c r="N13" t="s">
        <v>17</v>
      </c>
    </row>
    <row r="16" spans="1:14" x14ac:dyDescent="0.25">
      <c r="A16" t="s">
        <v>33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58E3-AA3F-4F71-AF07-C9246AF41B8A}">
  <dimension ref="A1:N12"/>
  <sheetViews>
    <sheetView workbookViewId="0">
      <selection activeCell="H1" sqref="H1"/>
    </sheetView>
  </sheetViews>
  <sheetFormatPr baseColWidth="10" defaultRowHeight="15" x14ac:dyDescent="0.25"/>
  <cols>
    <col min="6" max="8" width="21.85546875" customWidth="1"/>
    <col min="9" max="9" width="17.7109375" customWidth="1"/>
    <col min="10" max="10" width="14.42578125" customWidth="1"/>
    <col min="11" max="13" width="21" customWidth="1"/>
  </cols>
  <sheetData>
    <row r="1" spans="1:14" x14ac:dyDescent="0.25">
      <c r="A1" s="1" t="s">
        <v>0</v>
      </c>
      <c r="B1" s="1" t="s">
        <v>1</v>
      </c>
      <c r="C1" s="1" t="s">
        <v>30</v>
      </c>
      <c r="D1" s="1" t="s">
        <v>6</v>
      </c>
      <c r="E1" s="1" t="s">
        <v>34</v>
      </c>
      <c r="F1" s="1" t="s">
        <v>59</v>
      </c>
      <c r="G1" s="1" t="s">
        <v>101</v>
      </c>
      <c r="H1" s="1" t="s">
        <v>100</v>
      </c>
      <c r="I1" s="1" t="s">
        <v>19</v>
      </c>
      <c r="J1" s="1" t="s">
        <v>21</v>
      </c>
      <c r="K1" s="1" t="s">
        <v>24</v>
      </c>
      <c r="L1" s="1" t="s">
        <v>35</v>
      </c>
      <c r="M1" s="1" t="s">
        <v>28</v>
      </c>
      <c r="N1" s="1" t="s">
        <v>2</v>
      </c>
    </row>
    <row r="2" spans="1:14" x14ac:dyDescent="0.25">
      <c r="A2" t="s">
        <v>3</v>
      </c>
      <c r="B2" t="s">
        <v>4</v>
      </c>
      <c r="C2">
        <v>35.479999999999997</v>
      </c>
      <c r="D2">
        <v>2.5099999999999998</v>
      </c>
      <c r="E2">
        <v>2</v>
      </c>
      <c r="F2" t="s">
        <v>60</v>
      </c>
      <c r="G2" t="s">
        <v>60</v>
      </c>
      <c r="H2" t="s">
        <v>60</v>
      </c>
      <c r="I2">
        <v>10</v>
      </c>
      <c r="J2" t="s">
        <v>22</v>
      </c>
      <c r="K2" t="s">
        <v>27</v>
      </c>
      <c r="L2" t="s">
        <v>37</v>
      </c>
      <c r="M2" t="s">
        <v>29</v>
      </c>
      <c r="N2" t="s">
        <v>32</v>
      </c>
    </row>
    <row r="3" spans="1:14" x14ac:dyDescent="0.25">
      <c r="A3" t="s">
        <v>3</v>
      </c>
      <c r="B3" t="s">
        <v>10</v>
      </c>
      <c r="C3">
        <v>25.45</v>
      </c>
      <c r="D3">
        <v>1.07</v>
      </c>
      <c r="E3">
        <v>2</v>
      </c>
      <c r="F3" t="s">
        <v>81</v>
      </c>
      <c r="G3" t="s">
        <v>85</v>
      </c>
      <c r="H3" t="s">
        <v>107</v>
      </c>
      <c r="I3">
        <v>10</v>
      </c>
      <c r="J3" t="s">
        <v>22</v>
      </c>
      <c r="K3" t="s">
        <v>27</v>
      </c>
      <c r="L3" t="s">
        <v>37</v>
      </c>
      <c r="M3" t="s">
        <v>29</v>
      </c>
      <c r="N3" t="s">
        <v>32</v>
      </c>
    </row>
    <row r="4" spans="1:14" x14ac:dyDescent="0.25">
      <c r="A4" t="s">
        <v>3</v>
      </c>
      <c r="B4" t="s">
        <v>20</v>
      </c>
      <c r="C4">
        <v>29.75</v>
      </c>
      <c r="D4">
        <v>2.15</v>
      </c>
      <c r="E4">
        <v>2</v>
      </c>
      <c r="F4" t="s">
        <v>82</v>
      </c>
      <c r="G4" t="s">
        <v>84</v>
      </c>
      <c r="H4" t="s">
        <v>108</v>
      </c>
      <c r="I4">
        <v>10</v>
      </c>
      <c r="J4" t="s">
        <v>22</v>
      </c>
      <c r="K4" t="s">
        <v>27</v>
      </c>
      <c r="L4" t="s">
        <v>37</v>
      </c>
      <c r="M4" t="s">
        <v>29</v>
      </c>
      <c r="N4" t="s">
        <v>32</v>
      </c>
    </row>
    <row r="5" spans="1:14" x14ac:dyDescent="0.25">
      <c r="A5" t="s">
        <v>3</v>
      </c>
      <c r="B5" t="s">
        <v>26</v>
      </c>
      <c r="C5">
        <v>95.34</v>
      </c>
      <c r="D5">
        <v>3.23</v>
      </c>
      <c r="E5">
        <v>2</v>
      </c>
      <c r="F5" t="s">
        <v>83</v>
      </c>
      <c r="G5" t="s">
        <v>86</v>
      </c>
      <c r="H5" t="s">
        <v>109</v>
      </c>
      <c r="I5">
        <v>10</v>
      </c>
      <c r="J5" t="s">
        <v>22</v>
      </c>
      <c r="K5" t="s">
        <v>27</v>
      </c>
      <c r="L5" t="s">
        <v>37</v>
      </c>
      <c r="M5" t="s">
        <v>29</v>
      </c>
      <c r="N5" t="s">
        <v>32</v>
      </c>
    </row>
    <row r="6" spans="1:14" x14ac:dyDescent="0.25">
      <c r="A6" t="s">
        <v>3</v>
      </c>
      <c r="B6" t="s">
        <v>4</v>
      </c>
      <c r="C6">
        <v>12.19</v>
      </c>
      <c r="D6">
        <v>1.07</v>
      </c>
      <c r="E6">
        <v>2</v>
      </c>
      <c r="F6" t="s">
        <v>60</v>
      </c>
      <c r="G6" t="s">
        <v>60</v>
      </c>
      <c r="H6" t="s">
        <v>60</v>
      </c>
      <c r="I6">
        <v>24</v>
      </c>
      <c r="J6" t="s">
        <v>22</v>
      </c>
      <c r="K6" t="s">
        <v>27</v>
      </c>
      <c r="L6" t="s">
        <v>37</v>
      </c>
      <c r="M6" t="s">
        <v>29</v>
      </c>
      <c r="N6" t="s">
        <v>32</v>
      </c>
    </row>
    <row r="7" spans="1:14" x14ac:dyDescent="0.25">
      <c r="A7" t="s">
        <v>3</v>
      </c>
      <c r="B7" t="s">
        <v>10</v>
      </c>
      <c r="C7">
        <v>12.19</v>
      </c>
      <c r="D7">
        <v>3.22</v>
      </c>
      <c r="E7">
        <v>2</v>
      </c>
      <c r="F7">
        <v>1</v>
      </c>
      <c r="G7" t="s">
        <v>90</v>
      </c>
      <c r="H7" t="s">
        <v>110</v>
      </c>
      <c r="I7">
        <v>24</v>
      </c>
      <c r="J7" t="s">
        <v>22</v>
      </c>
      <c r="K7" t="s">
        <v>27</v>
      </c>
      <c r="L7" t="s">
        <v>37</v>
      </c>
      <c r="M7" t="s">
        <v>29</v>
      </c>
      <c r="N7" t="s">
        <v>32</v>
      </c>
    </row>
    <row r="8" spans="1:14" x14ac:dyDescent="0.25">
      <c r="A8" t="s">
        <v>3</v>
      </c>
      <c r="B8" t="s">
        <v>20</v>
      </c>
      <c r="C8">
        <v>7.53</v>
      </c>
      <c r="D8">
        <v>1.79</v>
      </c>
      <c r="E8">
        <v>2</v>
      </c>
      <c r="F8" t="s">
        <v>87</v>
      </c>
      <c r="G8" t="s">
        <v>89</v>
      </c>
      <c r="H8" t="s">
        <v>111</v>
      </c>
      <c r="I8">
        <v>24</v>
      </c>
      <c r="J8" t="s">
        <v>22</v>
      </c>
      <c r="K8" t="s">
        <v>27</v>
      </c>
      <c r="L8" t="s">
        <v>37</v>
      </c>
      <c r="M8" t="s">
        <v>29</v>
      </c>
      <c r="N8" t="s">
        <v>32</v>
      </c>
    </row>
    <row r="9" spans="1:14" x14ac:dyDescent="0.25">
      <c r="A9" t="s">
        <v>3</v>
      </c>
      <c r="B9" t="s">
        <v>26</v>
      </c>
      <c r="C9">
        <v>96.77</v>
      </c>
      <c r="D9">
        <v>2.15</v>
      </c>
      <c r="E9">
        <v>2</v>
      </c>
      <c r="F9" t="s">
        <v>88</v>
      </c>
      <c r="G9" t="s">
        <v>91</v>
      </c>
      <c r="H9" t="s">
        <v>109</v>
      </c>
      <c r="I9">
        <v>24</v>
      </c>
      <c r="J9" t="s">
        <v>22</v>
      </c>
      <c r="K9" t="s">
        <v>27</v>
      </c>
      <c r="L9" t="s">
        <v>37</v>
      </c>
      <c r="M9" t="s">
        <v>29</v>
      </c>
      <c r="N9" t="s">
        <v>32</v>
      </c>
    </row>
    <row r="12" spans="1:14" x14ac:dyDescent="0.25">
      <c r="A1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167D-7E35-48BF-9403-7DFC0ADF47B0}">
  <dimension ref="A1:N16"/>
  <sheetViews>
    <sheetView workbookViewId="0">
      <selection activeCell="H1" sqref="H1"/>
    </sheetView>
  </sheetViews>
  <sheetFormatPr baseColWidth="10" defaultRowHeight="15" x14ac:dyDescent="0.25"/>
  <cols>
    <col min="3" max="3" width="13.85546875" bestFit="1" customWidth="1"/>
    <col min="6" max="8" width="21.85546875" customWidth="1"/>
    <col min="9" max="9" width="17.85546875" customWidth="1"/>
    <col min="10" max="10" width="13.85546875" bestFit="1" customWidth="1"/>
    <col min="11" max="11" width="21.5703125" bestFit="1" customWidth="1"/>
    <col min="12" max="12" width="21.5703125" customWidth="1"/>
  </cols>
  <sheetData>
    <row r="1" spans="1:14" x14ac:dyDescent="0.25">
      <c r="A1" s="1" t="s">
        <v>0</v>
      </c>
      <c r="B1" s="1" t="s">
        <v>1</v>
      </c>
      <c r="C1" s="1" t="s">
        <v>30</v>
      </c>
      <c r="D1" s="1" t="s">
        <v>6</v>
      </c>
      <c r="E1" s="1" t="s">
        <v>34</v>
      </c>
      <c r="F1" s="1" t="s">
        <v>59</v>
      </c>
      <c r="G1" s="1" t="s">
        <v>101</v>
      </c>
      <c r="H1" s="1" t="s">
        <v>100</v>
      </c>
      <c r="I1" s="1" t="s">
        <v>19</v>
      </c>
      <c r="J1" s="1" t="s">
        <v>21</v>
      </c>
      <c r="K1" s="1" t="s">
        <v>24</v>
      </c>
      <c r="L1" s="1" t="s">
        <v>35</v>
      </c>
      <c r="M1" s="1" t="s">
        <v>28</v>
      </c>
      <c r="N1" s="1" t="s">
        <v>2</v>
      </c>
    </row>
    <row r="2" spans="1:14" x14ac:dyDescent="0.25">
      <c r="A2" t="s">
        <v>3</v>
      </c>
      <c r="B2" t="s">
        <v>4</v>
      </c>
      <c r="C2">
        <v>51.74</v>
      </c>
      <c r="D2">
        <v>3.49</v>
      </c>
      <c r="E2">
        <v>4</v>
      </c>
      <c r="F2" t="s">
        <v>60</v>
      </c>
      <c r="G2" t="s">
        <v>60</v>
      </c>
      <c r="H2" t="s">
        <v>60</v>
      </c>
      <c r="I2">
        <v>2</v>
      </c>
      <c r="J2" t="s">
        <v>22</v>
      </c>
      <c r="K2" t="s">
        <v>27</v>
      </c>
      <c r="L2" t="s">
        <v>37</v>
      </c>
      <c r="M2" t="s">
        <v>29</v>
      </c>
    </row>
    <row r="3" spans="1:14" x14ac:dyDescent="0.25">
      <c r="A3" t="s">
        <v>3</v>
      </c>
      <c r="B3" t="s">
        <v>38</v>
      </c>
      <c r="C3">
        <v>80.23</v>
      </c>
      <c r="D3">
        <v>11.05</v>
      </c>
      <c r="E3">
        <v>4</v>
      </c>
      <c r="F3" t="s">
        <v>92</v>
      </c>
      <c r="G3" t="s">
        <v>97</v>
      </c>
      <c r="H3" t="s">
        <v>112</v>
      </c>
      <c r="I3">
        <v>2</v>
      </c>
      <c r="J3" t="s">
        <v>22</v>
      </c>
      <c r="K3" t="s">
        <v>27</v>
      </c>
      <c r="L3" t="s">
        <v>37</v>
      </c>
      <c r="M3" t="s">
        <v>29</v>
      </c>
    </row>
    <row r="4" spans="1:14" x14ac:dyDescent="0.25">
      <c r="A4" t="s">
        <v>3</v>
      </c>
      <c r="B4" t="s">
        <v>39</v>
      </c>
      <c r="C4">
        <v>86.63</v>
      </c>
      <c r="D4">
        <v>5.23</v>
      </c>
      <c r="E4">
        <v>4</v>
      </c>
      <c r="F4" t="s">
        <v>93</v>
      </c>
      <c r="G4" t="s">
        <v>99</v>
      </c>
      <c r="H4" t="s">
        <v>113</v>
      </c>
      <c r="I4">
        <v>2</v>
      </c>
      <c r="J4" t="s">
        <v>22</v>
      </c>
      <c r="K4" t="s">
        <v>27</v>
      </c>
      <c r="L4" t="s">
        <v>37</v>
      </c>
      <c r="M4" t="s">
        <v>29</v>
      </c>
    </row>
    <row r="5" spans="1:14" x14ac:dyDescent="0.25">
      <c r="A5" t="s">
        <v>3</v>
      </c>
      <c r="B5" t="s">
        <v>40</v>
      </c>
      <c r="C5">
        <v>96.22</v>
      </c>
      <c r="D5">
        <v>6.11</v>
      </c>
      <c r="E5">
        <v>4</v>
      </c>
      <c r="F5" t="s">
        <v>94</v>
      </c>
      <c r="G5" t="s">
        <v>96</v>
      </c>
      <c r="H5" t="s">
        <v>113</v>
      </c>
      <c r="I5">
        <v>2</v>
      </c>
      <c r="J5" t="s">
        <v>22</v>
      </c>
      <c r="K5" t="s">
        <v>27</v>
      </c>
      <c r="L5" t="s">
        <v>37</v>
      </c>
      <c r="M5" t="s">
        <v>29</v>
      </c>
    </row>
    <row r="6" spans="1:14" x14ac:dyDescent="0.25">
      <c r="A6" t="s">
        <v>3</v>
      </c>
      <c r="B6" t="s">
        <v>41</v>
      </c>
      <c r="C6">
        <v>87.21</v>
      </c>
      <c r="D6">
        <v>3.2</v>
      </c>
      <c r="E6">
        <v>4</v>
      </c>
      <c r="F6" t="s">
        <v>95</v>
      </c>
      <c r="G6" t="s">
        <v>98</v>
      </c>
      <c r="H6" t="s">
        <v>113</v>
      </c>
      <c r="I6">
        <v>2</v>
      </c>
      <c r="J6" t="s">
        <v>22</v>
      </c>
      <c r="K6" t="s">
        <v>27</v>
      </c>
      <c r="L6" t="s">
        <v>37</v>
      </c>
      <c r="M6" t="s">
        <v>29</v>
      </c>
    </row>
    <row r="7" spans="1:14" x14ac:dyDescent="0.25">
      <c r="G7" s="6"/>
      <c r="H7" s="6"/>
    </row>
    <row r="8" spans="1:14" x14ac:dyDescent="0.25">
      <c r="F8" s="6"/>
      <c r="G8" s="6"/>
      <c r="H8" s="6"/>
    </row>
    <row r="9" spans="1:14" x14ac:dyDescent="0.25">
      <c r="F9" s="6"/>
      <c r="G9" s="6"/>
      <c r="H9" s="6"/>
    </row>
    <row r="10" spans="1:14" x14ac:dyDescent="0.25">
      <c r="A10" t="s">
        <v>33</v>
      </c>
    </row>
    <row r="12" spans="1:14" x14ac:dyDescent="0.25">
      <c r="F12" s="7"/>
    </row>
    <row r="16" spans="1:14" x14ac:dyDescent="0.25">
      <c r="F1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1441-7A81-483B-A2BC-38B7B82944F2}">
  <dimension ref="A1:L55"/>
  <sheetViews>
    <sheetView tabSelected="1" workbookViewId="0">
      <selection activeCell="D26" sqref="D26"/>
    </sheetView>
  </sheetViews>
  <sheetFormatPr baseColWidth="10" defaultRowHeight="15" x14ac:dyDescent="0.25"/>
  <cols>
    <col min="2" max="2" width="18.85546875" bestFit="1" customWidth="1"/>
    <col min="4" max="4" width="12.28515625" bestFit="1" customWidth="1"/>
  </cols>
  <sheetData>
    <row r="1" spans="1:12" x14ac:dyDescent="0.25">
      <c r="A1" s="1" t="s">
        <v>0</v>
      </c>
      <c r="B1" s="1" t="s">
        <v>1</v>
      </c>
      <c r="C1" s="1" t="s">
        <v>45</v>
      </c>
      <c r="D1" s="1" t="s">
        <v>57</v>
      </c>
      <c r="E1" s="1" t="s">
        <v>6</v>
      </c>
      <c r="F1" s="1" t="s">
        <v>34</v>
      </c>
      <c r="G1" s="1" t="s">
        <v>19</v>
      </c>
      <c r="H1" s="1" t="s">
        <v>21</v>
      </c>
      <c r="I1" s="1" t="s">
        <v>24</v>
      </c>
      <c r="J1" s="1" t="s">
        <v>36</v>
      </c>
      <c r="K1" s="1" t="s">
        <v>28</v>
      </c>
      <c r="L1" s="1" t="s">
        <v>2</v>
      </c>
    </row>
    <row r="2" spans="1:12" x14ac:dyDescent="0.25">
      <c r="A2" t="s">
        <v>42</v>
      </c>
      <c r="B2" t="s">
        <v>4</v>
      </c>
      <c r="C2" s="3">
        <v>32.925339999999998</v>
      </c>
      <c r="D2" s="3">
        <f>SUM(C2:C4)/3</f>
        <v>32.346969999999999</v>
      </c>
      <c r="E2">
        <f>_xlfn.STDEV.S(C2:C4)</f>
        <v>3.3269953784608721</v>
      </c>
      <c r="F2">
        <v>3</v>
      </c>
      <c r="G2">
        <v>10</v>
      </c>
      <c r="H2" t="s">
        <v>43</v>
      </c>
      <c r="I2" t="s">
        <v>44</v>
      </c>
      <c r="J2" t="s">
        <v>37</v>
      </c>
      <c r="K2" t="s">
        <v>29</v>
      </c>
      <c r="L2" s="2" t="s">
        <v>46</v>
      </c>
    </row>
    <row r="3" spans="1:12" x14ac:dyDescent="0.25">
      <c r="A3" t="s">
        <v>42</v>
      </c>
      <c r="C3">
        <v>28.768709999999999</v>
      </c>
      <c r="D3" s="3"/>
      <c r="G3">
        <v>10</v>
      </c>
      <c r="H3" t="s">
        <v>43</v>
      </c>
      <c r="I3" t="s">
        <v>44</v>
      </c>
      <c r="J3" t="s">
        <v>37</v>
      </c>
      <c r="K3" t="s">
        <v>29</v>
      </c>
      <c r="L3" t="s">
        <v>46</v>
      </c>
    </row>
    <row r="4" spans="1:12" x14ac:dyDescent="0.25">
      <c r="A4" t="s">
        <v>42</v>
      </c>
      <c r="C4" s="3">
        <v>35.34686</v>
      </c>
      <c r="D4" s="3"/>
      <c r="G4">
        <v>10</v>
      </c>
      <c r="H4" t="s">
        <v>43</v>
      </c>
      <c r="I4" t="s">
        <v>44</v>
      </c>
      <c r="J4" t="s">
        <v>37</v>
      </c>
      <c r="K4" t="s">
        <v>29</v>
      </c>
      <c r="L4" t="s">
        <v>46</v>
      </c>
    </row>
    <row r="5" spans="1:12" x14ac:dyDescent="0.25">
      <c r="A5" t="s">
        <v>42</v>
      </c>
      <c r="B5" t="s">
        <v>50</v>
      </c>
      <c r="C5">
        <v>63.417630000000003</v>
      </c>
      <c r="D5" s="3">
        <f t="shared" ref="D5:D50" si="0">SUM(C5:C7)/3</f>
        <v>59.435586666666666</v>
      </c>
      <c r="E5">
        <f t="shared" ref="E5:E50" si="1">_xlfn.STDEV.S(C5:C7)</f>
        <v>5.3913607879303864</v>
      </c>
      <c r="F5">
        <v>3</v>
      </c>
      <c r="G5">
        <v>10</v>
      </c>
      <c r="H5" t="s">
        <v>43</v>
      </c>
      <c r="I5" t="s">
        <v>44</v>
      </c>
      <c r="J5" t="s">
        <v>37</v>
      </c>
      <c r="K5" t="s">
        <v>29</v>
      </c>
      <c r="L5" t="s">
        <v>46</v>
      </c>
    </row>
    <row r="6" spans="1:12" x14ac:dyDescent="0.25">
      <c r="A6" t="s">
        <v>42</v>
      </c>
      <c r="C6">
        <v>61.588749999999997</v>
      </c>
      <c r="D6" s="3"/>
      <c r="G6">
        <v>10</v>
      </c>
      <c r="H6" t="s">
        <v>43</v>
      </c>
      <c r="I6" t="s">
        <v>44</v>
      </c>
      <c r="J6" t="s">
        <v>37</v>
      </c>
      <c r="K6" t="s">
        <v>29</v>
      </c>
      <c r="L6" t="s">
        <v>46</v>
      </c>
    </row>
    <row r="7" spans="1:12" x14ac:dyDescent="0.25">
      <c r="A7" t="s">
        <v>42</v>
      </c>
      <c r="C7" s="4">
        <v>53.300379999999997</v>
      </c>
      <c r="D7" s="3"/>
      <c r="G7">
        <v>10</v>
      </c>
      <c r="H7" t="s">
        <v>43</v>
      </c>
      <c r="I7" t="s">
        <v>44</v>
      </c>
      <c r="J7" t="s">
        <v>37</v>
      </c>
      <c r="K7" t="s">
        <v>29</v>
      </c>
      <c r="L7" t="s">
        <v>46</v>
      </c>
    </row>
    <row r="8" spans="1:12" x14ac:dyDescent="0.25">
      <c r="A8" t="s">
        <v>42</v>
      </c>
      <c r="B8" t="s">
        <v>51</v>
      </c>
      <c r="C8">
        <v>61.962049999999998</v>
      </c>
      <c r="D8" s="3">
        <f t="shared" si="0"/>
        <v>64.053703333333331</v>
      </c>
      <c r="E8">
        <f t="shared" si="1"/>
        <v>6.3765333465005334</v>
      </c>
      <c r="F8">
        <v>3</v>
      </c>
      <c r="G8">
        <v>10</v>
      </c>
      <c r="H8" t="s">
        <v>43</v>
      </c>
      <c r="I8" t="s">
        <v>44</v>
      </c>
      <c r="J8" t="s">
        <v>37</v>
      </c>
      <c r="K8" t="s">
        <v>29</v>
      </c>
      <c r="L8" s="2" t="s">
        <v>46</v>
      </c>
    </row>
    <row r="9" spans="1:12" x14ac:dyDescent="0.25">
      <c r="A9" t="s">
        <v>42</v>
      </c>
      <c r="C9">
        <v>58.985700000000001</v>
      </c>
      <c r="D9" s="3"/>
      <c r="G9">
        <v>10</v>
      </c>
      <c r="H9" t="s">
        <v>43</v>
      </c>
      <c r="I9" t="s">
        <v>44</v>
      </c>
      <c r="J9" t="s">
        <v>37</v>
      </c>
      <c r="K9" t="s">
        <v>29</v>
      </c>
      <c r="L9" t="s">
        <v>46</v>
      </c>
    </row>
    <row r="10" spans="1:12" x14ac:dyDescent="0.25">
      <c r="A10" t="s">
        <v>42</v>
      </c>
      <c r="C10">
        <v>71.213359999999994</v>
      </c>
      <c r="D10" s="3"/>
      <c r="G10">
        <v>10</v>
      </c>
      <c r="H10" t="s">
        <v>43</v>
      </c>
      <c r="I10" t="s">
        <v>44</v>
      </c>
      <c r="J10" t="s">
        <v>37</v>
      </c>
      <c r="K10" t="s">
        <v>29</v>
      </c>
      <c r="L10" t="s">
        <v>46</v>
      </c>
    </row>
    <row r="11" spans="1:12" x14ac:dyDescent="0.25">
      <c r="A11" t="s">
        <v>42</v>
      </c>
      <c r="B11" t="s">
        <v>52</v>
      </c>
      <c r="C11">
        <v>53.750680000000003</v>
      </c>
      <c r="D11" s="3">
        <f t="shared" si="0"/>
        <v>53.087383333333328</v>
      </c>
      <c r="E11">
        <f t="shared" si="1"/>
        <v>3.6129030548899785</v>
      </c>
      <c r="F11">
        <v>3</v>
      </c>
      <c r="G11">
        <v>10</v>
      </c>
      <c r="H11" t="s">
        <v>43</v>
      </c>
      <c r="I11" t="s">
        <v>44</v>
      </c>
      <c r="J11" t="s">
        <v>37</v>
      </c>
      <c r="K11" t="s">
        <v>29</v>
      </c>
      <c r="L11" t="s">
        <v>46</v>
      </c>
    </row>
    <row r="12" spans="1:12" x14ac:dyDescent="0.25">
      <c r="A12" t="s">
        <v>42</v>
      </c>
      <c r="C12">
        <v>49.188789999999997</v>
      </c>
      <c r="D12" s="3"/>
      <c r="G12">
        <v>10</v>
      </c>
      <c r="H12" t="s">
        <v>43</v>
      </c>
      <c r="I12" t="s">
        <v>44</v>
      </c>
      <c r="J12" t="s">
        <v>37</v>
      </c>
      <c r="K12" t="s">
        <v>29</v>
      </c>
      <c r="L12" t="s">
        <v>46</v>
      </c>
    </row>
    <row r="13" spans="1:12" x14ac:dyDescent="0.25">
      <c r="A13" t="s">
        <v>42</v>
      </c>
      <c r="C13" s="3">
        <v>56.322679999999998</v>
      </c>
      <c r="D13" s="3"/>
      <c r="G13">
        <v>10</v>
      </c>
      <c r="H13" t="s">
        <v>43</v>
      </c>
      <c r="I13" t="s">
        <v>44</v>
      </c>
      <c r="J13" t="s">
        <v>37</v>
      </c>
      <c r="K13" t="s">
        <v>29</v>
      </c>
      <c r="L13" t="s">
        <v>46</v>
      </c>
    </row>
    <row r="14" spans="1:12" x14ac:dyDescent="0.25">
      <c r="A14" t="s">
        <v>42</v>
      </c>
      <c r="B14" t="s">
        <v>53</v>
      </c>
      <c r="C14">
        <v>59.201830000000001</v>
      </c>
      <c r="D14" s="3">
        <f t="shared" si="0"/>
        <v>55.840256666666669</v>
      </c>
      <c r="E14">
        <f t="shared" si="1"/>
        <v>3.5082026489547795</v>
      </c>
      <c r="F14">
        <v>3</v>
      </c>
      <c r="G14">
        <v>10</v>
      </c>
      <c r="H14" t="s">
        <v>43</v>
      </c>
      <c r="I14" t="s">
        <v>44</v>
      </c>
      <c r="J14" t="s">
        <v>37</v>
      </c>
      <c r="K14" t="s">
        <v>29</v>
      </c>
      <c r="L14" s="2" t="s">
        <v>46</v>
      </c>
    </row>
    <row r="15" spans="1:12" x14ac:dyDescent="0.25">
      <c r="A15" t="s">
        <v>42</v>
      </c>
      <c r="C15">
        <v>56.117109999999997</v>
      </c>
      <c r="D15" s="3"/>
      <c r="G15">
        <v>10</v>
      </c>
      <c r="H15" t="s">
        <v>43</v>
      </c>
      <c r="I15" t="s">
        <v>44</v>
      </c>
      <c r="J15" t="s">
        <v>37</v>
      </c>
      <c r="K15" t="s">
        <v>29</v>
      </c>
      <c r="L15" s="2" t="s">
        <v>46</v>
      </c>
    </row>
    <row r="16" spans="1:12" x14ac:dyDescent="0.25">
      <c r="A16" t="s">
        <v>42</v>
      </c>
      <c r="C16" s="3">
        <v>52.201830000000001</v>
      </c>
      <c r="D16" s="3"/>
      <c r="G16">
        <v>10</v>
      </c>
      <c r="H16" t="s">
        <v>43</v>
      </c>
      <c r="I16" t="s">
        <v>44</v>
      </c>
      <c r="J16" t="s">
        <v>37</v>
      </c>
      <c r="K16" t="s">
        <v>29</v>
      </c>
      <c r="L16" s="2" t="s">
        <v>46</v>
      </c>
    </row>
    <row r="17" spans="1:12" x14ac:dyDescent="0.25">
      <c r="A17" t="s">
        <v>42</v>
      </c>
      <c r="B17" t="s">
        <v>4</v>
      </c>
      <c r="C17">
        <v>35.379539999999999</v>
      </c>
      <c r="D17" s="3">
        <f t="shared" si="0"/>
        <v>34.358466666666665</v>
      </c>
      <c r="E17">
        <f t="shared" si="1"/>
        <v>0.96419690604841435</v>
      </c>
      <c r="F17">
        <v>3</v>
      </c>
      <c r="G17">
        <v>10</v>
      </c>
      <c r="H17" t="s">
        <v>43</v>
      </c>
      <c r="I17" t="s">
        <v>44</v>
      </c>
      <c r="J17" t="s">
        <v>37</v>
      </c>
      <c r="K17" t="s">
        <v>29</v>
      </c>
      <c r="L17" s="2" t="s">
        <v>46</v>
      </c>
    </row>
    <row r="18" spans="1:12" x14ac:dyDescent="0.25">
      <c r="A18" t="s">
        <v>42</v>
      </c>
      <c r="C18" s="5">
        <v>33.463569999999997</v>
      </c>
      <c r="D18" s="3"/>
      <c r="F18" s="5"/>
      <c r="G18">
        <v>10</v>
      </c>
      <c r="H18" t="s">
        <v>43</v>
      </c>
      <c r="I18" t="s">
        <v>44</v>
      </c>
      <c r="J18" t="s">
        <v>37</v>
      </c>
      <c r="K18" t="s">
        <v>29</v>
      </c>
      <c r="L18" s="2" t="s">
        <v>46</v>
      </c>
    </row>
    <row r="19" spans="1:12" x14ac:dyDescent="0.25">
      <c r="A19" t="s">
        <v>42</v>
      </c>
      <c r="C19" s="5">
        <v>34.232289999999999</v>
      </c>
      <c r="D19" s="3"/>
      <c r="F19" s="5"/>
      <c r="G19">
        <v>10</v>
      </c>
      <c r="H19" t="s">
        <v>43</v>
      </c>
      <c r="I19" t="s">
        <v>44</v>
      </c>
      <c r="J19" t="s">
        <v>37</v>
      </c>
      <c r="K19" t="s">
        <v>29</v>
      </c>
      <c r="L19" s="2" t="s">
        <v>46</v>
      </c>
    </row>
    <row r="20" spans="1:12" x14ac:dyDescent="0.25">
      <c r="A20" t="s">
        <v>42</v>
      </c>
      <c r="B20" t="s">
        <v>47</v>
      </c>
      <c r="C20">
        <v>100.39578</v>
      </c>
      <c r="D20" s="3">
        <f t="shared" si="0"/>
        <v>100.33013666666666</v>
      </c>
      <c r="E20">
        <f t="shared" si="1"/>
        <v>3.2743185422364376</v>
      </c>
      <c r="F20">
        <v>3</v>
      </c>
      <c r="G20">
        <v>10</v>
      </c>
      <c r="H20" t="s">
        <v>43</v>
      </c>
      <c r="I20" t="s">
        <v>44</v>
      </c>
      <c r="J20" t="s">
        <v>37</v>
      </c>
      <c r="K20" t="s">
        <v>29</v>
      </c>
      <c r="L20" s="2" t="s">
        <v>46</v>
      </c>
    </row>
    <row r="21" spans="1:12" x14ac:dyDescent="0.25">
      <c r="A21" t="s">
        <v>42</v>
      </c>
      <c r="C21" s="5">
        <v>103.57114</v>
      </c>
      <c r="D21" s="3"/>
      <c r="G21">
        <v>10</v>
      </c>
      <c r="H21" t="s">
        <v>43</v>
      </c>
      <c r="I21" t="s">
        <v>44</v>
      </c>
      <c r="J21" t="s">
        <v>37</v>
      </c>
      <c r="K21" t="s">
        <v>29</v>
      </c>
      <c r="L21" s="2" t="s">
        <v>46</v>
      </c>
    </row>
    <row r="22" spans="1:12" x14ac:dyDescent="0.25">
      <c r="A22" t="s">
        <v>42</v>
      </c>
      <c r="C22" s="5">
        <v>97.023489999999995</v>
      </c>
      <c r="D22" s="3"/>
      <c r="G22">
        <v>10</v>
      </c>
      <c r="H22" t="s">
        <v>43</v>
      </c>
      <c r="I22" t="s">
        <v>44</v>
      </c>
      <c r="J22" t="s">
        <v>37</v>
      </c>
      <c r="K22" t="s">
        <v>29</v>
      </c>
      <c r="L22" s="2" t="s">
        <v>46</v>
      </c>
    </row>
    <row r="23" spans="1:12" x14ac:dyDescent="0.25">
      <c r="A23" t="s">
        <v>42</v>
      </c>
      <c r="B23" t="s">
        <v>48</v>
      </c>
      <c r="C23">
        <v>99.589590000000001</v>
      </c>
      <c r="D23" s="3">
        <f t="shared" si="0"/>
        <v>100.46172999999999</v>
      </c>
      <c r="E23">
        <f t="shared" si="1"/>
        <v>0.78963183642758195</v>
      </c>
      <c r="F23">
        <v>3</v>
      </c>
      <c r="G23">
        <v>10</v>
      </c>
      <c r="H23" t="s">
        <v>43</v>
      </c>
      <c r="I23" t="s">
        <v>44</v>
      </c>
      <c r="J23" t="s">
        <v>37</v>
      </c>
      <c r="K23" t="s">
        <v>29</v>
      </c>
      <c r="L23" s="2" t="s">
        <v>46</v>
      </c>
    </row>
    <row r="24" spans="1:12" x14ac:dyDescent="0.25">
      <c r="A24" t="s">
        <v>42</v>
      </c>
      <c r="C24">
        <v>100.66748</v>
      </c>
      <c r="D24" s="3"/>
      <c r="G24">
        <v>10</v>
      </c>
      <c r="H24" t="s">
        <v>43</v>
      </c>
      <c r="I24" t="s">
        <v>44</v>
      </c>
      <c r="J24" t="s">
        <v>37</v>
      </c>
      <c r="K24" t="s">
        <v>29</v>
      </c>
      <c r="L24" s="2" t="s">
        <v>46</v>
      </c>
    </row>
    <row r="25" spans="1:12" x14ac:dyDescent="0.25">
      <c r="A25" t="s">
        <v>42</v>
      </c>
      <c r="C25" s="4">
        <v>101.12812</v>
      </c>
      <c r="D25" s="3"/>
      <c r="G25">
        <v>10</v>
      </c>
      <c r="H25" t="s">
        <v>43</v>
      </c>
      <c r="I25" t="s">
        <v>44</v>
      </c>
      <c r="J25" t="s">
        <v>37</v>
      </c>
      <c r="K25" t="s">
        <v>29</v>
      </c>
      <c r="L25" s="2" t="s">
        <v>46</v>
      </c>
    </row>
    <row r="26" spans="1:12" x14ac:dyDescent="0.25">
      <c r="A26" t="s">
        <v>42</v>
      </c>
      <c r="B26" t="s">
        <v>49</v>
      </c>
      <c r="C26">
        <v>96.369150000000005</v>
      </c>
      <c r="D26" s="3">
        <f t="shared" si="0"/>
        <v>99.300573333333332</v>
      </c>
      <c r="E26">
        <f t="shared" si="1"/>
        <v>3.4263707170172535</v>
      </c>
      <c r="F26">
        <v>3</v>
      </c>
      <c r="G26">
        <v>10</v>
      </c>
      <c r="H26" t="s">
        <v>43</v>
      </c>
      <c r="I26" t="s">
        <v>44</v>
      </c>
      <c r="J26" t="s">
        <v>37</v>
      </c>
      <c r="K26" t="s">
        <v>29</v>
      </c>
      <c r="L26" s="2" t="s">
        <v>46</v>
      </c>
    </row>
    <row r="27" spans="1:12" x14ac:dyDescent="0.25">
      <c r="A27" t="s">
        <v>42</v>
      </c>
      <c r="C27" s="5">
        <v>98.465180000000004</v>
      </c>
      <c r="D27" s="3"/>
      <c r="G27">
        <v>10</v>
      </c>
      <c r="H27" t="s">
        <v>43</v>
      </c>
      <c r="I27" t="s">
        <v>44</v>
      </c>
      <c r="J27" t="s">
        <v>37</v>
      </c>
      <c r="K27" t="s">
        <v>29</v>
      </c>
      <c r="L27" s="2" t="s">
        <v>46</v>
      </c>
    </row>
    <row r="28" spans="1:12" x14ac:dyDescent="0.25">
      <c r="A28" t="s">
        <v>42</v>
      </c>
      <c r="C28" s="5">
        <v>103.06739</v>
      </c>
      <c r="D28" s="3"/>
      <c r="G28">
        <v>10</v>
      </c>
      <c r="H28" t="s">
        <v>43</v>
      </c>
      <c r="I28" t="s">
        <v>44</v>
      </c>
      <c r="J28" t="s">
        <v>37</v>
      </c>
      <c r="K28" t="s">
        <v>29</v>
      </c>
      <c r="L28" s="2" t="s">
        <v>46</v>
      </c>
    </row>
    <row r="29" spans="1:12" x14ac:dyDescent="0.25">
      <c r="A29" t="s">
        <v>42</v>
      </c>
      <c r="B29" t="s">
        <v>54</v>
      </c>
      <c r="C29">
        <v>98.603200000000001</v>
      </c>
      <c r="D29" s="3">
        <f t="shared" si="0"/>
        <v>99.695433333333327</v>
      </c>
      <c r="E29">
        <f t="shared" si="1"/>
        <v>1.2391781596014861</v>
      </c>
      <c r="F29">
        <v>3</v>
      </c>
      <c r="G29">
        <v>10</v>
      </c>
      <c r="H29" t="s">
        <v>43</v>
      </c>
      <c r="I29" t="s">
        <v>44</v>
      </c>
      <c r="J29" t="s">
        <v>37</v>
      </c>
      <c r="K29" t="s">
        <v>29</v>
      </c>
      <c r="L29" s="2" t="s">
        <v>46</v>
      </c>
    </row>
    <row r="30" spans="1:12" x14ac:dyDescent="0.25">
      <c r="A30" t="s">
        <v>42</v>
      </c>
      <c r="C30" s="4">
        <v>99.441029999999998</v>
      </c>
      <c r="D30" s="3"/>
      <c r="G30">
        <v>10</v>
      </c>
      <c r="H30" t="s">
        <v>43</v>
      </c>
      <c r="I30" t="s">
        <v>44</v>
      </c>
      <c r="J30" t="s">
        <v>37</v>
      </c>
      <c r="K30" t="s">
        <v>29</v>
      </c>
      <c r="L30" s="2" t="s">
        <v>46</v>
      </c>
    </row>
    <row r="31" spans="1:12" x14ac:dyDescent="0.25">
      <c r="A31" t="s">
        <v>42</v>
      </c>
      <c r="C31" s="4">
        <v>101.04207</v>
      </c>
      <c r="D31" s="3"/>
      <c r="G31">
        <v>10</v>
      </c>
      <c r="H31" t="s">
        <v>43</v>
      </c>
      <c r="I31" t="s">
        <v>44</v>
      </c>
      <c r="J31" t="s">
        <v>37</v>
      </c>
      <c r="K31" t="s">
        <v>29</v>
      </c>
      <c r="L31" s="2" t="s">
        <v>46</v>
      </c>
    </row>
    <row r="32" spans="1:12" x14ac:dyDescent="0.25">
      <c r="A32" t="s">
        <v>42</v>
      </c>
      <c r="B32" t="s">
        <v>55</v>
      </c>
      <c r="C32">
        <v>101.51936000000001</v>
      </c>
      <c r="D32" s="3">
        <f t="shared" si="0"/>
        <v>103.09002333333335</v>
      </c>
      <c r="E32">
        <f t="shared" si="1"/>
        <v>1.5695112712667325</v>
      </c>
      <c r="F32">
        <v>3</v>
      </c>
      <c r="G32">
        <v>10</v>
      </c>
      <c r="H32" t="s">
        <v>43</v>
      </c>
      <c r="I32" t="s">
        <v>44</v>
      </c>
      <c r="J32" t="s">
        <v>37</v>
      </c>
      <c r="K32" t="s">
        <v>29</v>
      </c>
      <c r="L32" s="2" t="s">
        <v>46</v>
      </c>
    </row>
    <row r="33" spans="1:12" x14ac:dyDescent="0.25">
      <c r="A33" t="s">
        <v>42</v>
      </c>
      <c r="C33" s="4">
        <v>103.09233</v>
      </c>
      <c r="D33" s="3"/>
      <c r="G33">
        <v>10</v>
      </c>
      <c r="H33" t="s">
        <v>43</v>
      </c>
      <c r="I33" t="s">
        <v>44</v>
      </c>
      <c r="J33" t="s">
        <v>37</v>
      </c>
      <c r="K33" t="s">
        <v>29</v>
      </c>
      <c r="L33" s="2" t="s">
        <v>46</v>
      </c>
    </row>
    <row r="34" spans="1:12" x14ac:dyDescent="0.25">
      <c r="A34" t="s">
        <v>42</v>
      </c>
      <c r="C34" s="4">
        <v>104.65837999999999</v>
      </c>
      <c r="D34" s="3"/>
      <c r="G34">
        <v>10</v>
      </c>
      <c r="H34" t="s">
        <v>43</v>
      </c>
      <c r="I34" t="s">
        <v>44</v>
      </c>
      <c r="J34" t="s">
        <v>37</v>
      </c>
      <c r="K34" t="s">
        <v>29</v>
      </c>
      <c r="L34" s="2" t="s">
        <v>46</v>
      </c>
    </row>
    <row r="35" spans="1:12" x14ac:dyDescent="0.25">
      <c r="A35" t="s">
        <v>42</v>
      </c>
      <c r="B35" t="s">
        <v>4</v>
      </c>
      <c r="C35" s="5">
        <v>39.435650000000003</v>
      </c>
      <c r="D35" s="3">
        <f t="shared" si="0"/>
        <v>36.178126666666671</v>
      </c>
      <c r="E35">
        <f t="shared" si="1"/>
        <v>2.9108944810201107</v>
      </c>
      <c r="F35">
        <v>3</v>
      </c>
      <c r="G35">
        <v>10</v>
      </c>
      <c r="H35" t="s">
        <v>56</v>
      </c>
      <c r="I35" t="s">
        <v>44</v>
      </c>
      <c r="J35" t="s">
        <v>37</v>
      </c>
      <c r="K35" t="s">
        <v>29</v>
      </c>
      <c r="L35" s="2" t="s">
        <v>46</v>
      </c>
    </row>
    <row r="36" spans="1:12" x14ac:dyDescent="0.25">
      <c r="A36" t="s">
        <v>42</v>
      </c>
      <c r="C36" s="5">
        <v>33.83193</v>
      </c>
      <c r="D36" s="3"/>
      <c r="G36">
        <v>10</v>
      </c>
      <c r="H36" t="s">
        <v>56</v>
      </c>
      <c r="I36" t="s">
        <v>44</v>
      </c>
      <c r="J36" t="s">
        <v>37</v>
      </c>
      <c r="K36" t="s">
        <v>29</v>
      </c>
      <c r="L36" s="2" t="s">
        <v>46</v>
      </c>
    </row>
    <row r="37" spans="1:12" x14ac:dyDescent="0.25">
      <c r="A37" t="s">
        <v>42</v>
      </c>
      <c r="C37" s="3">
        <v>35.266800000000003</v>
      </c>
      <c r="D37" s="3"/>
      <c r="G37">
        <v>10</v>
      </c>
      <c r="H37" t="s">
        <v>56</v>
      </c>
      <c r="I37" t="s">
        <v>44</v>
      </c>
      <c r="J37" t="s">
        <v>37</v>
      </c>
      <c r="K37" t="s">
        <v>29</v>
      </c>
      <c r="L37" s="2" t="s">
        <v>46</v>
      </c>
    </row>
    <row r="38" spans="1:12" x14ac:dyDescent="0.25">
      <c r="A38" t="s">
        <v>42</v>
      </c>
      <c r="B38" t="s">
        <v>47</v>
      </c>
      <c r="C38" s="4">
        <v>91.619150000000005</v>
      </c>
      <c r="D38" s="3">
        <f t="shared" si="0"/>
        <v>90.633870000000002</v>
      </c>
      <c r="E38">
        <f t="shared" si="1"/>
        <v>4.9556327883732525</v>
      </c>
      <c r="F38">
        <v>3</v>
      </c>
      <c r="G38">
        <v>10</v>
      </c>
      <c r="H38" t="s">
        <v>56</v>
      </c>
      <c r="I38" t="s">
        <v>44</v>
      </c>
      <c r="J38" t="s">
        <v>37</v>
      </c>
      <c r="K38" t="s">
        <v>29</v>
      </c>
      <c r="L38" s="2" t="s">
        <v>46</v>
      </c>
    </row>
    <row r="39" spans="1:12" x14ac:dyDescent="0.25">
      <c r="A39" t="s">
        <v>42</v>
      </c>
      <c r="C39" s="5">
        <v>95.022850000000005</v>
      </c>
      <c r="D39" s="3"/>
      <c r="G39">
        <v>10</v>
      </c>
      <c r="H39" t="s">
        <v>56</v>
      </c>
      <c r="I39" t="s">
        <v>44</v>
      </c>
      <c r="J39" t="s">
        <v>37</v>
      </c>
      <c r="K39" t="s">
        <v>29</v>
      </c>
      <c r="L39" s="2" t="s">
        <v>46</v>
      </c>
    </row>
    <row r="40" spans="1:12" x14ac:dyDescent="0.25">
      <c r="A40" t="s">
        <v>42</v>
      </c>
      <c r="C40" s="3">
        <v>85.259609999999995</v>
      </c>
      <c r="D40" s="3"/>
      <c r="G40">
        <v>10</v>
      </c>
      <c r="H40" t="s">
        <v>56</v>
      </c>
      <c r="I40" t="s">
        <v>44</v>
      </c>
      <c r="J40" t="s">
        <v>37</v>
      </c>
      <c r="K40" t="s">
        <v>29</v>
      </c>
      <c r="L40" s="2" t="s">
        <v>46</v>
      </c>
    </row>
    <row r="41" spans="1:12" x14ac:dyDescent="0.25">
      <c r="A41" t="s">
        <v>42</v>
      </c>
      <c r="B41" t="s">
        <v>48</v>
      </c>
      <c r="C41" s="5">
        <v>93.308310000000006</v>
      </c>
      <c r="D41" s="3">
        <f t="shared" si="0"/>
        <v>93.974163333333351</v>
      </c>
      <c r="E41">
        <f t="shared" si="1"/>
        <v>7.9633356579409202</v>
      </c>
      <c r="F41">
        <v>3</v>
      </c>
      <c r="G41">
        <v>10</v>
      </c>
      <c r="H41" t="s">
        <v>56</v>
      </c>
      <c r="I41" t="s">
        <v>44</v>
      </c>
      <c r="J41" t="s">
        <v>37</v>
      </c>
      <c r="K41" t="s">
        <v>29</v>
      </c>
      <c r="L41" s="2" t="s">
        <v>46</v>
      </c>
    </row>
    <row r="42" spans="1:12" x14ac:dyDescent="0.25">
      <c r="A42" t="s">
        <v>42</v>
      </c>
      <c r="C42" s="5">
        <v>86.364660000000001</v>
      </c>
      <c r="D42" s="3"/>
      <c r="G42">
        <v>10</v>
      </c>
      <c r="H42" t="s">
        <v>56</v>
      </c>
      <c r="I42" t="s">
        <v>44</v>
      </c>
      <c r="J42" t="s">
        <v>37</v>
      </c>
      <c r="K42" t="s">
        <v>29</v>
      </c>
      <c r="L42" s="2" t="s">
        <v>46</v>
      </c>
    </row>
    <row r="43" spans="1:12" x14ac:dyDescent="0.25">
      <c r="A43" t="s">
        <v>42</v>
      </c>
      <c r="C43" s="4">
        <v>102.24952</v>
      </c>
      <c r="D43" s="3"/>
      <c r="G43">
        <v>10</v>
      </c>
      <c r="H43" t="s">
        <v>56</v>
      </c>
      <c r="I43" t="s">
        <v>44</v>
      </c>
      <c r="J43" t="s">
        <v>37</v>
      </c>
      <c r="K43" t="s">
        <v>29</v>
      </c>
      <c r="L43" s="2" t="s">
        <v>46</v>
      </c>
    </row>
    <row r="44" spans="1:12" x14ac:dyDescent="0.25">
      <c r="A44" t="s">
        <v>42</v>
      </c>
      <c r="B44" t="s">
        <v>49</v>
      </c>
      <c r="C44" s="5">
        <v>92.363230000000001</v>
      </c>
      <c r="D44" s="3">
        <f t="shared" si="0"/>
        <v>92.337390000000013</v>
      </c>
      <c r="E44">
        <f t="shared" si="1"/>
        <v>1.6773092871620314</v>
      </c>
      <c r="F44">
        <v>3</v>
      </c>
      <c r="G44">
        <v>10</v>
      </c>
      <c r="H44" t="s">
        <v>56</v>
      </c>
      <c r="I44" t="s">
        <v>44</v>
      </c>
      <c r="J44" t="s">
        <v>37</v>
      </c>
      <c r="K44" t="s">
        <v>29</v>
      </c>
      <c r="L44" s="2" t="s">
        <v>46</v>
      </c>
    </row>
    <row r="45" spans="1:12" x14ac:dyDescent="0.25">
      <c r="A45" t="s">
        <v>42</v>
      </c>
      <c r="C45" s="4">
        <v>94.001630000000006</v>
      </c>
      <c r="D45" s="3"/>
      <c r="G45">
        <v>10</v>
      </c>
      <c r="H45" t="s">
        <v>56</v>
      </c>
      <c r="I45" t="s">
        <v>44</v>
      </c>
      <c r="J45" t="s">
        <v>37</v>
      </c>
      <c r="K45" t="s">
        <v>29</v>
      </c>
      <c r="L45" s="2" t="s">
        <v>46</v>
      </c>
    </row>
    <row r="46" spans="1:12" x14ac:dyDescent="0.25">
      <c r="A46" t="s">
        <v>42</v>
      </c>
      <c r="C46" s="5">
        <v>90.647310000000004</v>
      </c>
      <c r="D46" s="3"/>
      <c r="G46">
        <v>10</v>
      </c>
      <c r="H46" t="s">
        <v>56</v>
      </c>
      <c r="I46" t="s">
        <v>44</v>
      </c>
      <c r="J46" t="s">
        <v>37</v>
      </c>
      <c r="K46" t="s">
        <v>29</v>
      </c>
      <c r="L46" s="2" t="s">
        <v>46</v>
      </c>
    </row>
    <row r="47" spans="1:12" x14ac:dyDescent="0.25">
      <c r="A47" t="s">
        <v>42</v>
      </c>
      <c r="B47" t="s">
        <v>54</v>
      </c>
      <c r="C47" s="5">
        <v>92.866380000000007</v>
      </c>
      <c r="D47" s="3">
        <f t="shared" si="0"/>
        <v>92.088446666666684</v>
      </c>
      <c r="E47">
        <f t="shared" si="1"/>
        <v>2.2837350138169117</v>
      </c>
      <c r="F47">
        <v>3</v>
      </c>
      <c r="G47">
        <v>10</v>
      </c>
      <c r="H47" t="s">
        <v>56</v>
      </c>
      <c r="I47" t="s">
        <v>44</v>
      </c>
      <c r="J47" t="s">
        <v>37</v>
      </c>
      <c r="K47" t="s">
        <v>29</v>
      </c>
      <c r="L47" s="2" t="s">
        <v>46</v>
      </c>
    </row>
    <row r="48" spans="1:12" x14ac:dyDescent="0.25">
      <c r="A48" t="s">
        <v>42</v>
      </c>
      <c r="C48" s="5">
        <v>93.88158</v>
      </c>
      <c r="D48" s="3"/>
      <c r="G48">
        <v>10</v>
      </c>
      <c r="H48" t="s">
        <v>56</v>
      </c>
      <c r="I48" t="s">
        <v>44</v>
      </c>
      <c r="J48" t="s">
        <v>37</v>
      </c>
      <c r="K48" t="s">
        <v>29</v>
      </c>
      <c r="L48" s="2" t="s">
        <v>46</v>
      </c>
    </row>
    <row r="49" spans="1:12" x14ac:dyDescent="0.25">
      <c r="A49" t="s">
        <v>42</v>
      </c>
      <c r="C49" s="5">
        <v>89.517380000000003</v>
      </c>
      <c r="D49" s="3"/>
      <c r="G49">
        <v>10</v>
      </c>
      <c r="H49" t="s">
        <v>56</v>
      </c>
      <c r="I49" t="s">
        <v>44</v>
      </c>
      <c r="J49" t="s">
        <v>37</v>
      </c>
      <c r="K49" t="s">
        <v>29</v>
      </c>
      <c r="L49" s="2" t="s">
        <v>46</v>
      </c>
    </row>
    <row r="50" spans="1:12" x14ac:dyDescent="0.25">
      <c r="A50" t="s">
        <v>42</v>
      </c>
      <c r="B50" t="s">
        <v>55</v>
      </c>
      <c r="C50" s="4">
        <v>91.114040000000003</v>
      </c>
      <c r="D50" s="3">
        <f t="shared" si="0"/>
        <v>91.952153333333328</v>
      </c>
      <c r="E50">
        <f t="shared" si="1"/>
        <v>4.588964906123528</v>
      </c>
      <c r="F50">
        <v>3</v>
      </c>
      <c r="G50">
        <v>10</v>
      </c>
      <c r="H50" t="s">
        <v>56</v>
      </c>
      <c r="I50" t="s">
        <v>44</v>
      </c>
      <c r="J50" t="s">
        <v>37</v>
      </c>
      <c r="K50" t="s">
        <v>29</v>
      </c>
      <c r="L50" s="2" t="s">
        <v>46</v>
      </c>
    </row>
    <row r="51" spans="1:12" x14ac:dyDescent="0.25">
      <c r="A51" t="s">
        <v>42</v>
      </c>
      <c r="C51" s="4">
        <v>87.840010000000007</v>
      </c>
      <c r="G51">
        <v>10</v>
      </c>
      <c r="H51" t="s">
        <v>56</v>
      </c>
      <c r="I51" t="s">
        <v>44</v>
      </c>
      <c r="J51" t="s">
        <v>37</v>
      </c>
      <c r="K51" t="s">
        <v>29</v>
      </c>
      <c r="L51" s="2" t="s">
        <v>46</v>
      </c>
    </row>
    <row r="52" spans="1:12" x14ac:dyDescent="0.25">
      <c r="A52" t="s">
        <v>42</v>
      </c>
      <c r="C52" s="4">
        <v>96.902410000000003</v>
      </c>
      <c r="G52">
        <v>10</v>
      </c>
      <c r="H52" t="s">
        <v>56</v>
      </c>
      <c r="I52" t="s">
        <v>44</v>
      </c>
      <c r="J52" t="s">
        <v>37</v>
      </c>
      <c r="K52" t="s">
        <v>29</v>
      </c>
      <c r="L52" s="2" t="s">
        <v>46</v>
      </c>
    </row>
    <row r="55" spans="1:12" x14ac:dyDescent="0.25">
      <c r="A55" t="s">
        <v>58</v>
      </c>
    </row>
  </sheetData>
  <hyperlinks>
    <hyperlink ref="L2" r:id="rId1" xr:uid="{3674CC1C-331A-4EE7-A247-95ED88E66CC3}"/>
    <hyperlink ref="L8" r:id="rId2" xr:uid="{2F83F212-A82A-4D0C-97A1-5A956A97E1F8}"/>
    <hyperlink ref="L14" r:id="rId3" xr:uid="{C062B6EC-49E3-4523-9C61-9A71910CC2F7}"/>
    <hyperlink ref="L15" r:id="rId4" xr:uid="{2389C967-7755-4D4E-B942-B814B296844D}"/>
    <hyperlink ref="L16" r:id="rId5" xr:uid="{34E8A4EE-1C5C-40F2-99F5-F9C1C2AE2295}"/>
    <hyperlink ref="L17" r:id="rId6" xr:uid="{13020694-6BE2-44C1-B4C7-BC8D6BD74DD0}"/>
    <hyperlink ref="L18" r:id="rId7" xr:uid="{DB1EB913-2039-4942-8181-A81E23FF7266}"/>
    <hyperlink ref="L19" r:id="rId8" xr:uid="{CCB7C46E-DC78-414A-A6A2-D51CBAA4EDFE}"/>
    <hyperlink ref="L20" r:id="rId9" xr:uid="{D89CD34D-D1E5-4817-9BFC-82C23EF829D8}"/>
    <hyperlink ref="L21" r:id="rId10" xr:uid="{0D1785A4-BD77-4220-99FC-21813A4D2EDD}"/>
    <hyperlink ref="L22" r:id="rId11" xr:uid="{0DDCD13A-F82B-451A-8B49-46784131FC95}"/>
    <hyperlink ref="L23" r:id="rId12" xr:uid="{1D13B72B-AA4B-4A35-A8B4-E7DA48C2061B}"/>
    <hyperlink ref="L24" r:id="rId13" xr:uid="{1A14645A-41FE-42B8-9893-8B89D6F8DF9A}"/>
    <hyperlink ref="L25" r:id="rId14" xr:uid="{C1347A0D-8917-4C61-ABF2-B947D431F75F}"/>
    <hyperlink ref="L26" r:id="rId15" xr:uid="{3BAB8085-8D88-4903-8AD6-9E1B8F94EA36}"/>
    <hyperlink ref="L27" r:id="rId16" xr:uid="{F3E9B306-8A82-44B5-BC1C-453EE44F72D2}"/>
    <hyperlink ref="L28" r:id="rId17" xr:uid="{CBBBB39C-0E39-47EB-923C-8921286D4A19}"/>
    <hyperlink ref="L29" r:id="rId18" xr:uid="{45540659-7466-4F35-95D8-80DC66478F8D}"/>
    <hyperlink ref="L30" r:id="rId19" xr:uid="{F014C5E2-FB95-4648-8239-8DD9195E7BDF}"/>
    <hyperlink ref="L31" r:id="rId20" xr:uid="{DBD97BFD-FEFB-493B-8412-D6ED164C15AC}"/>
    <hyperlink ref="L32" r:id="rId21" xr:uid="{5E16A77E-BB6E-4DC2-97D8-4A4BBCCDB638}"/>
    <hyperlink ref="L33" r:id="rId22" xr:uid="{CC1A6AB4-E00A-4D69-B67F-FC47C3B59B74}"/>
    <hyperlink ref="L34" r:id="rId23" xr:uid="{6283DE57-1785-4869-8C27-B55AD4B325FE}"/>
    <hyperlink ref="L35" r:id="rId24" xr:uid="{1D736D24-4102-4AEC-AC36-426A6B7A2C54}"/>
    <hyperlink ref="L36" r:id="rId25" xr:uid="{E077A705-68BF-4427-A140-F758AD67CCAD}"/>
    <hyperlink ref="L37" r:id="rId26" xr:uid="{FA73DF58-2873-40FD-AAB2-48DBC4F5E5B6}"/>
    <hyperlink ref="L38" r:id="rId27" xr:uid="{97C5A5B1-6ABC-4B3C-8057-779AA918A633}"/>
    <hyperlink ref="L39" r:id="rId28" xr:uid="{E773376B-8A91-4DB9-BCE7-045DB575954F}"/>
    <hyperlink ref="L40" r:id="rId29" xr:uid="{E643DF3E-C432-479F-ACCD-B6EC64A01877}"/>
    <hyperlink ref="L41" r:id="rId30" xr:uid="{DDDC2607-2A3F-47A2-8605-C7677E164EF8}"/>
    <hyperlink ref="L42" r:id="rId31" xr:uid="{3EE83A14-B708-4E6D-AF63-26B17609B2E4}"/>
    <hyperlink ref="L43" r:id="rId32" xr:uid="{34BBCF90-F07A-482E-9DE4-EE0C4AF10D70}"/>
    <hyperlink ref="L44" r:id="rId33" xr:uid="{E4B67A4D-08F9-4C63-9104-0C396449219B}"/>
    <hyperlink ref="L45" r:id="rId34" xr:uid="{77301C1E-C347-45EE-BF4F-440FA3F43A12}"/>
    <hyperlink ref="L46" r:id="rId35" xr:uid="{0E052FC0-144D-4C24-88E1-048D451650A8}"/>
    <hyperlink ref="L47" r:id="rId36" xr:uid="{6A6CFD71-90B4-40C8-B5D7-EB8AD16EEBDE}"/>
    <hyperlink ref="L48" r:id="rId37" xr:uid="{88242AB2-A8AC-4B64-8B70-126CABBA814F}"/>
    <hyperlink ref="L49" r:id="rId38" xr:uid="{F29EDBBC-2D95-4A4B-8BDA-DC3CB7D56951}"/>
    <hyperlink ref="L50" r:id="rId39" xr:uid="{9CFE7572-91CD-4215-8C79-2BE51B6FED40}"/>
    <hyperlink ref="L51" r:id="rId40" xr:uid="{530DD9CE-7571-4BBB-BBFA-5AA5C269114F}"/>
    <hyperlink ref="L52" r:id="rId41" xr:uid="{3B926A70-9A9E-4BC7-A471-B3E110D2E4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Li-2012-Cell</vt:lpstr>
      <vt:lpstr>Hu-2020-CellDeathDiff</vt:lpstr>
      <vt:lpstr>Ma-2025-PNAS</vt:lpstr>
      <vt:lpstr>Wu-2021-NatComms</vt:lpstr>
    </vt:vector>
  </TitlesOfParts>
  <Company>IBEC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Martín Gomez</dc:creator>
  <cp:lastModifiedBy>Mariano Martín Gomez</cp:lastModifiedBy>
  <dcterms:created xsi:type="dcterms:W3CDTF">2025-10-22T08:29:50Z</dcterms:created>
  <dcterms:modified xsi:type="dcterms:W3CDTF">2025-10-30T13:33:23Z</dcterms:modified>
</cp:coreProperties>
</file>